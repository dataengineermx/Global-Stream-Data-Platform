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dientes" sheetId="1" state="visible" r:id="rId3"/>
    <sheet name="Próximos pas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<sst xmlns="http://schemas.openxmlformats.org/spreadsheetml/2006/main" count="54" uniqueCount="44">
  <si>
    <t xml:space="preserve">Pipeline de sismos – verificaciones pendientes</t>
  </si>
  <si>
    <t xml:space="preserve">Leyenda: edita solo las celdas amarillas (Estado y Notas). El resumen de abajo se recalcula solo.</t>
  </si>
  <si>
    <t xml:space="preserve">#</t>
  </si>
  <si>
    <t xml:space="preserve">Área</t>
  </si>
  <si>
    <t xml:space="preserve">Tarea</t>
  </si>
  <si>
    <t xml:space="preserve">Cómo verificar</t>
  </si>
  <si>
    <t xml:space="preserve">Estado</t>
  </si>
  <si>
    <t xml:space="preserve">Notas</t>
  </si>
  <si>
    <t xml:space="preserve">Dashboard</t>
  </si>
  <si>
    <t xml:space="preserve">Revisar cada panel de «Sismos – Global Data Platform». El mapa es el más probable que necesite ajustes (Grafana 13 es más nuevo que el formato usado).</t>
  </si>
  <si>
    <t xml:space="preserve">Abrir el dashboard en Grafana. Si se corrige desde la UI: Share → Export y reemplazar grafana/dashboards/earthquakes.json para que el repo siga siendo la fuente de verdad.</t>
  </si>
  <si>
    <t xml:space="preserve">Pendiente</t>
  </si>
  <si>
    <t xml:space="preserve">DAG</t>
  </si>
  <si>
    <t xml:space="preserve">Disparar el DAG manualmente y confirmar que enrich_geo y log_run_metrics quedan en verde. Luego activar el schedule horario.</t>
  </si>
  <si>
    <t xml:space="preserve">UI de Airflow (Grid). A la hora siguiente, comprobar que llegó un run scheduled__ completo y que hay fila nueva en ops.pipeline_runs.</t>
  </si>
  <si>
    <t xml:space="preserve">Postgres</t>
  </si>
  <si>
    <t xml:space="preserve">Confirmar shm_size: 1gb en el servicio postgres-data y ejecutar VACUUM ANALYZE sin errores.</t>
  </si>
  <si>
    <t xml:space="preserve">docker compose exec postgres-data psql -U datauser -d datadb -c "VACUUM ANALYZE;"  (sin 'No space left on device'). Sin shm_size, los paneles pesados sobre 4.2 M de filas pueden fallar.</t>
  </si>
  <si>
    <t xml:space="preserve">Repo</t>
  </si>
  <si>
    <t xml:space="preserve">Higiene del repo: .gitignore con .env, logs/, __pycache__/, *.bkp y files.zip.</t>
  </si>
  <si>
    <t xml:space="preserve">git status no debe mostrar esos archivos.</t>
  </si>
  <si>
    <t xml:space="preserve">Verificar que ninguna contraseña quedó en archivos versionados (02_grafana_role.sql conserva 'CAMBIAME', y está bien dejarlo así).</t>
  </si>
  <si>
    <t xml:space="preserve">grep -rniE "password|passwd" sql grafana dags src scripts</t>
  </si>
  <si>
    <t xml:space="preserve">Grafana</t>
  </si>
  <si>
    <t xml:space="preserve">Fijar la versión de Grafana (hoy 13.2.3) en lugar de grafana/grafana:latest.</t>
  </si>
  <si>
    <t xml:space="preserve">Cambiar image: en docker-compose.yaml y ejecutar docker compose up -d grafana.</t>
  </si>
  <si>
    <t xml:space="preserve">Resumen</t>
  </si>
  <si>
    <t xml:space="preserve">Total de tareas</t>
  </si>
  <si>
    <t xml:space="preserve">Hechas</t>
  </si>
  <si>
    <t xml:space="preserve">En curso</t>
  </si>
  <si>
    <t xml:space="preserve">Pendientes</t>
  </si>
  <si>
    <t xml:space="preserve">Avance</t>
  </si>
  <si>
    <t xml:space="preserve">Roadmap de portafolio (en este orden)</t>
  </si>
  <si>
    <t xml:space="preserve">Leyenda: edita solo la columna Estado (celdas amarillas).</t>
  </si>
  <si>
    <t xml:space="preserve">Orden</t>
  </si>
  <si>
    <t xml:space="preserve">Paso</t>
  </si>
  <si>
    <t xml:space="preserve">Qué aporta</t>
  </si>
  <si>
    <t xml:space="preserve">Tests con pytest</t>
  </si>
  <si>
    <t xml:space="preserve">feature_to_row con un GeoJSON de muestra, pruebas de las reglas de validación y de la idempotencia del SQL contra un PostGIS efímero. Las consultas ya se validaron a mano; este montaje se automatiza.</t>
  </si>
  <si>
    <t xml:space="preserve">CI en GitHub Actions</t>
  </si>
  <si>
    <t xml:space="preserve">ruff + pytest con un servicio PostGIS en cada push.</t>
  </si>
  <si>
    <t xml:space="preserve">README</t>
  </si>
  <si>
    <t xml:space="preserve">Diagrama de arquitectura, decisiones de diseño (capas, cuarentena, sesgo de cobertura, enriquecimiento geográfico) y capturas del DAG y del dashboard.</t>
  </si>
  <si>
    <t xml:space="preserve">Hechos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</si>
</sst>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8"/>
    <col collapsed="false" customWidth="true" hidden="false" outlineLevel="0" max="4" min="4" style="0" width="62"/>
    <col collapsed="false" customWidth="true" hidden="false" outlineLevel="0" max="5" min="5" style="0" width="14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5.05" hidden="false" customHeight="false" outlineLevel="0" collapsed="false">
      <c r="A5" s="4" t="n">
        <v>1</v>
      </c>
      <c r="B5" s="5" t="s">
        <v>8</v>
      </c>
      <c r="C5" s="5" t="s">
        <v>9</v>
      </c>
      <c r="D5" s="5" t="s">
        <v>10</v>
      </c>
      <c r="E5" s="6" t="s">
        <v>11</v>
      </c>
      <c r="F5" s="7"/>
    </row>
    <row r="6" customFormat="false" ht="23.85" hidden="false" customHeight="false" outlineLevel="0" collapsed="false">
      <c r="A6" s="4" t="n">
        <v>2</v>
      </c>
      <c r="B6" s="5" t="s">
        <v>12</v>
      </c>
      <c r="C6" s="5" t="s">
        <v>13</v>
      </c>
      <c r="D6" s="5" t="s">
        <v>14</v>
      </c>
      <c r="E6" s="6" t="s">
        <v>11</v>
      </c>
      <c r="F6" s="7"/>
    </row>
    <row r="7" customFormat="false" ht="35.05" hidden="false" customHeight="false" outlineLevel="0" collapsed="false">
      <c r="A7" s="4" t="n">
        <v>3</v>
      </c>
      <c r="B7" s="5" t="s">
        <v>15</v>
      </c>
      <c r="C7" s="5" t="s">
        <v>16</v>
      </c>
      <c r="D7" s="5" t="s">
        <v>17</v>
      </c>
      <c r="E7" s="6" t="s">
        <v>11</v>
      </c>
      <c r="F7" s="7"/>
    </row>
    <row r="8" customFormat="false" ht="23.85" hidden="false" customHeight="false" outlineLevel="0" collapsed="false">
      <c r="A8" s="4" t="n">
        <v>4</v>
      </c>
      <c r="B8" s="5" t="s">
        <v>18</v>
      </c>
      <c r="C8" s="5" t="s">
        <v>19</v>
      </c>
      <c r="D8" s="5" t="s">
        <v>20</v>
      </c>
      <c r="E8" s="6" t="s">
        <v>11</v>
      </c>
      <c r="F8" s="7"/>
    </row>
    <row r="9" customFormat="false" ht="23.85" hidden="false" customHeight="false" outlineLevel="0" collapsed="false">
      <c r="A9" s="4" t="n">
        <v>5</v>
      </c>
      <c r="B9" s="5" t="s">
        <v>18</v>
      </c>
      <c r="C9" s="5" t="s">
        <v>21</v>
      </c>
      <c r="D9" s="5" t="s">
        <v>22</v>
      </c>
      <c r="E9" s="6" t="s">
        <v>11</v>
      </c>
      <c r="F9" s="7"/>
    </row>
    <row r="10" customFormat="false" ht="23.85" hidden="false" customHeight="false" outlineLevel="0" collapsed="false">
      <c r="A10" s="4" t="n">
        <v>6</v>
      </c>
      <c r="B10" s="5" t="s">
        <v>23</v>
      </c>
      <c r="C10" s="5" t="s">
        <v>24</v>
      </c>
      <c r="D10" s="5" t="s">
        <v>25</v>
      </c>
      <c r="E10" s="6" t="s">
        <v>11</v>
      </c>
      <c r="F10" s="7"/>
    </row>
    <row r="12" customFormat="false" ht="15" hidden="false" customHeight="false" outlineLevel="0" collapsed="false">
      <c r="C12" s="8" t="s">
        <v>26</v>
      </c>
    </row>
    <row r="13" customFormat="false" ht="15" hidden="false" customHeight="false" outlineLevel="0" collapsed="false">
      <c r="C13" s="9" t="s">
        <v>27</v>
      </c>
      <c r="D13" s="10" t="n">
        <f aca="false">COUNTA(C5:C10)</f>
        <v>6</v>
      </c>
    </row>
    <row r="14" customFormat="false" ht="15" hidden="false" customHeight="false" outlineLevel="0" collapsed="false">
      <c r="C14" s="9" t="s">
        <v>28</v>
      </c>
      <c r="D14" s="10" t="n">
        <f aca="false">COUNTIF(E5:E10,"Hecho")</f>
        <v>0</v>
      </c>
    </row>
    <row r="15" customFormat="false" ht="15" hidden="false" customHeight="false" outlineLevel="0" collapsed="false">
      <c r="C15" s="9" t="s">
        <v>29</v>
      </c>
      <c r="D15" s="10" t="n">
        <f aca="false">COUNTIF(E5:E10,"En curso")</f>
        <v>0</v>
      </c>
    </row>
    <row r="16" customFormat="false" ht="15" hidden="false" customHeight="false" outlineLevel="0" collapsed="false">
      <c r="C16" s="9" t="s">
        <v>30</v>
      </c>
      <c r="D16" s="10" t="n">
        <f aca="false">COUNTIF(E5:E10,"Pendiente")</f>
        <v>6</v>
      </c>
    </row>
    <row r="17" customFormat="false" ht="15" hidden="false" customHeight="false" outlineLevel="0" collapsed="false">
      <c r="C17" s="9" t="s">
        <v>31</v>
      </c>
      <c r="D17" s="11" t="n">
        <f aca="false">IF(D13=0,0,D14/D13)</f>
        <v>0</v>
      </c>
    </row>
  </sheetData>
  <conditionalFormatting sqref="E5:E10">
    <cfRule type="cellIs" priority="2" operator="equal" aboveAverage="0" equalAverage="0" bottom="0" percent="0" rank="0" text="" dxfId="0">
      <formula>"Hecho"</formula>
    </cfRule>
    <cfRule type="cellIs" priority="3" operator="equal" aboveAverage="0" equalAverage="0" bottom="0" percent="0" rank="0" text="" dxfId="1">
      <formula>"En curso"</formula>
    </cfRule>
  </conditionalFormatting>
  <dataValidations count="1">
    <dataValidation allowBlank="false" errorStyle="stop" operator="between" showDropDown="false" showErrorMessage="false" showInputMessage="false" sqref="E5:E10" type="list">
      <formula1>"Pendiente,En curso,Hecho"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9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12" t="s">
        <v>34</v>
      </c>
      <c r="B4" s="12" t="s">
        <v>35</v>
      </c>
      <c r="C4" s="12" t="s">
        <v>36</v>
      </c>
      <c r="D4" s="12" t="s">
        <v>6</v>
      </c>
    </row>
    <row r="5" customFormat="false" ht="23.85" hidden="false" customHeight="false" outlineLevel="0" collapsed="false">
      <c r="A5" s="4" t="n">
        <v>1</v>
      </c>
      <c r="B5" s="5" t="s">
        <v>37</v>
      </c>
      <c r="C5" s="5" t="s">
        <v>38</v>
      </c>
      <c r="D5" s="6" t="s">
        <v>11</v>
      </c>
    </row>
    <row r="6" customFormat="false" ht="15" hidden="false" customHeight="false" outlineLevel="0" collapsed="false">
      <c r="A6" s="4" t="n">
        <v>2</v>
      </c>
      <c r="B6" s="5" t="s">
        <v>39</v>
      </c>
      <c r="C6" s="5" t="s">
        <v>40</v>
      </c>
      <c r="D6" s="6" t="s">
        <v>11</v>
      </c>
    </row>
    <row r="7" customFormat="false" ht="23.85" hidden="false" customHeight="false" outlineLevel="0" collapsed="false">
      <c r="A7" s="4" t="n">
        <v>3</v>
      </c>
      <c r="B7" s="5" t="s">
        <v>41</v>
      </c>
      <c r="C7" s="5" t="s">
        <v>42</v>
      </c>
      <c r="D7" s="6" t="s">
        <v>11</v>
      </c>
    </row>
    <row r="9" customFormat="false" ht="15" hidden="false" customHeight="false" outlineLevel="0" collapsed="false">
      <c r="B9" s="8" t="s">
        <v>43</v>
      </c>
      <c r="C9" s="8" t="str">
        <f aca="false">COUNTIF(D5:D7,"Hecho")&amp;" de "&amp;COUNTA(B5:B7)</f>
        <v>0 de 3</v>
      </c>
    </row>
  </sheetData>
  <conditionalFormatting sqref="D5:D7">
    <cfRule type="cellIs" priority="2" operator="equal" aboveAverage="0" equalAverage="0" bottom="0" percent="0" rank="0" text="" dxfId="0">
      <formula>"Hecho"</formula>
    </cfRule>
    <cfRule type="cellIs" priority="3" operator="equal" aboveAverage="0" equalAverage="0" bottom="0" percent="0" rank="0" text="" dxfId="1">
      <formula>"En curso"</formula>
    </cfRule>
  </conditionalFormatting>
  <dataValidations count="1">
    <dataValidation allowBlank="false" errorStyle="stop" operator="between" showDropDown="false" showErrorMessage="false" showInputMessage="false" sqref="D5:D7" type="list">
      <formula1>"Pendiente,En curso,Hecho"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2026-10-04T01:06:50Z</dcterms:created>
  <dc:creator>openpyxl</dc:creator>
  <dc:description/>
  <dc:language>en-US</dc:language>
  <cp:lastModifiedBy/>
  <dcterms:modified xsi:type="dcterms:W3CDTF">2026-10-04T01:06:50Z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